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dd14026dbc4ed27/GWU_Bootcamp/Module-2/Challenge-2/Resources/"/>
    </mc:Choice>
  </mc:AlternateContent>
  <xr:revisionPtr revIDLastSave="0" documentId="8_{0971E1D9-4711-4648-95EB-B30DB49D3FDB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3" r:id="rId3"/>
    <sheet name="Graphs" sheetId="4" r:id="rId4"/>
    <sheet name="Sheet2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4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I5" i="5"/>
  <c r="I6" i="5"/>
  <c r="I7" i="5"/>
  <c r="I8" i="5"/>
  <c r="I9" i="5"/>
  <c r="I10" i="5"/>
  <c r="I11" i="5"/>
  <c r="I12" i="5"/>
  <c r="I13" i="5"/>
  <c r="I14" i="5"/>
  <c r="I15" i="5"/>
  <c r="I4" i="5"/>
  <c r="H5" i="5"/>
  <c r="H6" i="5"/>
  <c r="H7" i="5"/>
  <c r="H8" i="5"/>
  <c r="H9" i="5"/>
  <c r="H10" i="5"/>
  <c r="H11" i="5"/>
  <c r="H12" i="5"/>
  <c r="H13" i="5"/>
  <c r="H14" i="5"/>
  <c r="H15" i="5"/>
  <c r="H4" i="5"/>
</calcChain>
</file>

<file path=xl/sharedStrings.xml><?xml version="1.0" encoding="utf-8"?>
<sst xmlns="http://schemas.openxmlformats.org/spreadsheetml/2006/main" count="12192" uniqueCount="533">
  <si>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</si>
  <si>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</si>
  <si>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</si>
  <si>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</si>
  <si>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</si>
  <si>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</si>
  <si>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</si>
  <si>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</si>
  <si>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</si>
  <si>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</si>
  <si>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</si>
  <si>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</si>
  <si>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</si>
  <si>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</si>
  <si>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</si>
  <si>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</si>
  <si>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</si>
  <si>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</si>
  <si>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</si>
  <si>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</si>
  <si>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</si>
  <si>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</si>
  <si>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</si>
  <si>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</si>
  <si>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</si>
  <si>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</si>
  <si>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</si>
  <si>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</si>
  <si>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</si>
  <si>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</si>
  <si>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</si>
  <si>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</si>
  <si>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</si>
  <si>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</si>
  <si>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</si>
  <si>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</si>
  <si>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</si>
  <si>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</si>
  <si>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</si>
  <si>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</si>
  <si>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</si>
  <si>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</si>
  <si>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</si>
  <si>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</si>
  <si>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</si>
  <si>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</si>
  <si>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</si>
  <si>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</si>
  <si>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</si>
  <si>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</si>
  <si>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</si>
  <si>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</si>
  <si>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</si>
  <si>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</si>
  <si>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</si>
  <si>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</si>
  <si>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</si>
  <si>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</si>
  <si>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</si>
  <si>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</si>
  <si>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</si>
  <si>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</si>
  <si>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</si>
  <si>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</si>
  <si>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</si>
  <si>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</si>
  <si>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</si>
  <si>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</si>
  <si>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</si>
  <si>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</si>
  <si>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</si>
  <si>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</si>
  <si>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</si>
  <si>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</si>
  <si>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</si>
  <si>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</si>
  <si>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</si>
  <si>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</si>
  <si>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</si>
  <si>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</si>
  <si>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</si>
  <si>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</si>
  <si>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</si>
  <si>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</si>
  <si>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</si>
  <si>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</si>
  <si>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</si>
  <si>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</si>
  <si>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</si>
  <si>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</si>
  <si>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</si>
  <si>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</si>
  <si>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</si>
  <si>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</si>
  <si>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</si>
  <si>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</si>
  <si>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</si>
  <si>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</si>
  <si>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</si>
  <si>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</si>
  <si>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</si>
  <si>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</si>
  <si>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</si>
  <si>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</si>
  <si>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</si>
  <si>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</si>
  <si>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</si>
  <si>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</si>
  <si>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</si>
  <si>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</si>
  <si>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</si>
  <si>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</si>
  <si>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</si>
  <si>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</si>
  <si>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</si>
  <si>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</si>
  <si>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</si>
  <si>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</si>
  <si>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</si>
  <si>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</si>
  <si>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</si>
  <si>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</si>
  <si>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</si>
  <si>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</si>
  <si>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</si>
  <si>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</si>
  <si>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</si>
  <si>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</si>
  <si>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</si>
  <si>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</si>
  <si>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</si>
  <si>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</si>
  <si>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</si>
  <si>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</si>
  <si>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</si>
  <si>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</si>
  <si>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</si>
  <si>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</si>
  <si>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</si>
  <si>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</si>
  <si>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</si>
  <si>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</si>
  <si>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</si>
  <si>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</si>
  <si>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</si>
  <si>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</si>
  <si>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</si>
  <si>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</si>
  <si>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</si>
  <si>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</si>
  <si>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</si>
  <si>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</si>
  <si>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</si>
  <si>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</si>
  <si>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</si>
  <si>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</si>
  <si>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</si>
  <si>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</si>
  <si>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</si>
  <si>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</si>
  <si>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</si>
  <si>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</si>
  <si>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</si>
  <si>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</si>
  <si>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</si>
  <si>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</si>
  <si>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</si>
  <si>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</si>
  <si>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</si>
  <si>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</si>
  <si>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</si>
  <si>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</si>
  <si>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</si>
  <si>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</si>
  <si>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</si>
  <si>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</si>
  <si>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</si>
  <si>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</si>
  <si>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</si>
  <si>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</si>
  <si>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</si>
  <si>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</si>
  <si>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</si>
  <si>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</si>
  <si>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</si>
  <si>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</si>
  <si>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</si>
  <si>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</si>
  <si>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</si>
  <si>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</si>
  <si>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</si>
  <si>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</si>
  <si>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</si>
  <si>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</si>
  <si>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</si>
  <si>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</si>
  <si>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</si>
  <si>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</si>
  <si>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</si>
  <si>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</si>
  <si>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</si>
  <si>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</si>
  <si>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</si>
  <si>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</si>
  <si>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</si>
  <si>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</si>
  <si>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</si>
  <si>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</si>
  <si>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</si>
  <si>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</si>
  <si>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</si>
  <si>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</si>
  <si>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</si>
  <si>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</si>
  <si>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</si>
  <si>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</si>
  <si>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</si>
  <si>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</si>
  <si>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</si>
  <si>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</si>
  <si>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</si>
  <si>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</si>
  <si>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</si>
  <si>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</si>
  <si>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</si>
  <si>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</si>
  <si>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</si>
  <si>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</si>
  <si>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</si>
  <si>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</si>
  <si>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</si>
  <si>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</si>
  <si>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</si>
  <si>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</si>
  <si>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</si>
  <si>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</si>
  <si>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</si>
  <si>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</si>
  <si>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</si>
  <si>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</si>
  <si>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</si>
  <si>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</si>
  <si>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</si>
  <si>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</si>
  <si>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</si>
  <si>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</si>
  <si>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</si>
  <si>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</si>
  <si>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</si>
  <si>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</si>
  <si>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</si>
  <si>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</si>
  <si>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</si>
  <si>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</si>
  <si>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</si>
  <si>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</si>
  <si>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</si>
  <si>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</si>
  <si>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</si>
  <si>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</si>
  <si>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</si>
  <si>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</si>
  <si>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</si>
  <si>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</si>
  <si>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</si>
  <si>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</si>
  <si>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</si>
  <si>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</si>
  <si>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</si>
  <si>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</si>
  <si>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</si>
  <si>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</si>
  <si>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</si>
  <si>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</si>
  <si>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</si>
  <si>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</si>
  <si>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</si>
  <si>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</si>
  <si>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</si>
  <si>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</si>
  <si>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</si>
  <si>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</si>
  <si>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</si>
  <si>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</si>
  <si>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</si>
  <si>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</si>
  <si>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</si>
  <si>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</si>
  <si>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</si>
  <si>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</si>
  <si>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</si>
  <si>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</si>
  <si>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</si>
  <si>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</si>
  <si>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</si>
  <si>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</si>
  <si>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</si>
  <si>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</si>
  <si>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</si>
  <si>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</si>
  <si>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</si>
  <si>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</si>
  <si>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</si>
  <si>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</si>
  <si>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</si>
  <si>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</si>
  <si>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</si>
  <si>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</si>
  <si>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</si>
  <si>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</si>
  <si>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</si>
  <si>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</si>
  <si>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</si>
  <si>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</si>
  <si>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</si>
  <si>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</si>
  <si>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</si>
  <si>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</si>
  <si>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</si>
  <si>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</si>
  <si>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</si>
  <si>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</si>
  <si>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</si>
  <si>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</si>
  <si>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</si>
  <si>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</si>
  <si>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</si>
  <si>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</si>
  <si>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</si>
  <si>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</si>
  <si>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</si>
  <si>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</si>
  <si>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</si>
  <si>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</si>
  <si>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</si>
  <si>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</si>
  <si>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</si>
  <si>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</si>
  <si>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</si>
  <si>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</si>
  <si>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</si>
  <si>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</si>
  <si>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</si>
  <si>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</si>
  <si>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</si>
  <si>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</si>
  <si>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</si>
  <si>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</si>
  <si>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</si>
  <si>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</si>
  <si>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</si>
  <si>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</si>
  <si>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</si>
  <si>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</si>
  <si>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</si>
  <si>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</si>
  <si>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</si>
  <si>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</si>
  <si>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</si>
  <si>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</si>
  <si>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</si>
  <si>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</si>
  <si>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</si>
  <si>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</si>
  <si>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</si>
  <si>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</si>
  <si>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</si>
  <si>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</si>
  <si>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</si>
  <si>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</si>
  <si>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</si>
  <si>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</si>
  <si>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</si>
  <si>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</si>
  <si>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</si>
  <si>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</si>
  <si>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</si>
  <si>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</si>
  <si>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</si>
  <si>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</si>
  <si>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</si>
  <si>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</si>
  <si>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</si>
  <si>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</si>
  <si>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</si>
  <si>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</si>
  <si>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</si>
  <si>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</si>
  <si>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</si>
  <si>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</si>
  <si>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</si>
  <si>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</si>
  <si>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</si>
  <si>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</si>
  <si>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</si>
  <si>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</si>
  <si>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</si>
  <si>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</si>
  <si>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</si>
  <si>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</si>
  <si>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</si>
  <si>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</si>
  <si>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</si>
  <si>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</si>
  <si>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</si>
  <si>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</si>
  <si>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</si>
  <si>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</si>
  <si>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</si>
  <si>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</si>
  <si>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</si>
  <si>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</si>
  <si>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</si>
  <si>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</si>
  <si>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</si>
  <si>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</si>
  <si>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</si>
  <si>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</si>
  <si>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</si>
  <si>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</si>
  <si>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</si>
  <si>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</si>
  <si>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</si>
  <si>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</si>
  <si>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</si>
  <si>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</si>
  <si>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</si>
  <si>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</si>
  <si>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</si>
  <si>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</si>
  <si>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</si>
  <si>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</si>
  <si>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</si>
  <si>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</si>
  <si>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</si>
  <si>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</si>
  <si>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</si>
  <si>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</si>
  <si>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</si>
  <si>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</si>
  <si>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</si>
  <si>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</si>
  <si>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</si>
  <si>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</si>
  <si>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</si>
  <si>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</si>
  <si>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</si>
  <si>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</si>
  <si>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</si>
  <si>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</si>
  <si>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</si>
  <si>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</si>
  <si>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</si>
  <si>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</si>
  <si>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</si>
  <si>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</si>
  <si>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</si>
  <si>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</si>
  <si>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</si>
  <si>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</si>
  <si>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</si>
  <si>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</si>
  <si>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</si>
  <si>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</si>
  <si>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</si>
  <si>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</si>
  <si>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</si>
  <si>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</si>
  <si>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</si>
  <si>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</si>
  <si>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</si>
  <si>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</si>
  <si>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</si>
  <si>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</si>
  <si>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</si>
  <si>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</si>
  <si>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</si>
  <si>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</si>
  <si>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</si>
  <si>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</si>
  <si>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</si>
  <si>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</si>
  <si>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</si>
  <si>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</si>
  <si>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</si>
  <si>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</si>
  <si>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</si>
  <si>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</si>
  <si>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</si>
  <si>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</si>
  <si>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</si>
  <si>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</si>
  <si>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</si>
  <si>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</si>
  <si>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</si>
  <si>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</si>
  <si>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</si>
  <si>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</si>
  <si>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</si>
  <si>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</si>
  <si>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</si>
  <si>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</si>
  <si>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</si>
  <si>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</si>
  <si>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</si>
  <si>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</si>
  <si>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</si>
  <si>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</si>
  <si>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</si>
  <si>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</si>
  <si>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</si>
  <si>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</si>
  <si>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</si>
  <si>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</si>
  <si>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</si>
  <si>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</si>
  <si>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</si>
  <si>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</si>
  <si>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</si>
  <si>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</si>
  <si>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</si>
  <si>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</si>
  <si>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</si>
  <si>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</si>
  <si>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</si>
  <si>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All Stocks (2017)</t>
  </si>
  <si>
    <t>Return(2017)</t>
  </si>
  <si>
    <t>Return(2018)</t>
  </si>
  <si>
    <t>Daily Volume in millions(2017)</t>
  </si>
  <si>
    <t>Daily Volume in millions(2018)</t>
  </si>
  <si>
    <t>Daily Volume (2017)</t>
  </si>
  <si>
    <t>Daily Volume(2018)</t>
  </si>
  <si>
    <t>Change in Trading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</si>
</sst>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7" formatCode="0.00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10" fontId="0" fillId="0" borderId="0" xfId="1" applyNumberFormat="1" applyFont="1"/>
    <xf numFmtId="0" fontId="0" fillId="0" borderId="0" xfId="0" applyBorder="1"/>
    <xf numFmtId="10" fontId="0" fillId="0" borderId="0" xfId="1" applyNumberFormat="1" applyFont="1" applyBorder="1"/>
    <xf numFmtId="0" fontId="0" fillId="0" borderId="2" xfId="0" applyBorder="1"/>
    <xf numFmtId="10" fontId="0" fillId="0" borderId="2" xfId="1" applyNumberFormat="1" applyFont="1" applyBorder="1"/>
    <xf numFmtId="0" fontId="0" fillId="0" borderId="3" xfId="0" applyBorder="1"/>
    <xf numFmtId="164" fontId="0" fillId="2" borderId="0" xfId="0" applyNumberFormat="1" applyFill="1" applyBorder="1"/>
    <xf numFmtId="164" fontId="0" fillId="3" borderId="0" xfId="0" applyNumberFormat="1" applyFill="1" applyBorder="1"/>
    <xf numFmtId="164" fontId="0" fillId="2" borderId="2" xfId="0" applyNumberFormat="1" applyFill="1" applyBorder="1"/>
    <xf numFmtId="164" fontId="0" fillId="3" borderId="2" xfId="0" applyNumberFormat="1" applyFill="1" applyBorder="1"/>
    <xf numFmtId="0" fontId="1" fillId="0" borderId="3" xfId="0" applyFont="1" applyBorder="1"/>
    <xf numFmtId="0" fontId="1" fillId="0" borderId="2" xfId="0" applyFont="1" applyBorder="1" applyAlignment="1">
      <alignment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wrapText="1"/>
    </xf>
    <xf numFmtId="168" fontId="0" fillId="0" borderId="4" xfId="0" applyNumberFormat="1" applyBorder="1"/>
    <xf numFmtId="168" fontId="0" fillId="0" borderId="0" xfId="0" applyNumberFormat="1" applyBorder="1"/>
    <xf numFmtId="168" fontId="0" fillId="0" borderId="2" xfId="0" applyNumberFormat="1" applyBorder="1"/>
    <xf numFmtId="167" fontId="0" fillId="0" borderId="0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ill>
        <patternFill>
          <bgColor rgb="FFC64863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C6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Returns(%) for stocks</a:t>
            </a:r>
            <a:r>
              <a:rPr lang="en-US" sz="1200" baseline="0"/>
              <a:t> of green energy companies for the years 2017 and 2018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Graphs!$B$22</c:f>
              <c:strCache>
                <c:ptCount val="1"/>
                <c:pt idx="0">
                  <c:v>Return(2017)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Graphs!$A$23:$A$34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Graphs!$B$23:$B$34</c:f>
              <c:numCache>
                <c:formatCode>0.00%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2F-4C96-8BC8-9B7B077F78C9}"/>
            </c:ext>
          </c:extLst>
        </c:ser>
        <c:ser>
          <c:idx val="1"/>
          <c:order val="1"/>
          <c:tx>
            <c:strRef>
              <c:f>Graphs!$C$22</c:f>
              <c:strCache>
                <c:ptCount val="1"/>
                <c:pt idx="0">
                  <c:v>Return(2018)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Graphs!$A$23:$A$34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Graphs!$C$23:$C$34</c:f>
              <c:numCache>
                <c:formatCode>0.00%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2F-4C96-8BC8-9B7B077F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701269135"/>
        <c:axId val="701271631"/>
      </c:barChart>
      <c:catAx>
        <c:axId val="701269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271631"/>
        <c:crosses val="autoZero"/>
        <c:auto val="1"/>
        <c:lblAlgn val="ctr"/>
        <c:lblOffset val="100"/>
        <c:noMultiLvlLbl val="0"/>
      </c:catAx>
      <c:valAx>
        <c:axId val="701271631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26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4</xdr:row>
          <xdr:rowOff>152400</xdr:rowOff>
        </xdr:from>
        <xdr:to>
          <xdr:col>12</xdr:col>
          <xdr:colOff>7620</xdr:colOff>
          <xdr:row>8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13</xdr:row>
          <xdr:rowOff>30480</xdr:rowOff>
        </xdr:from>
        <xdr:to>
          <xdr:col>8</xdr:col>
          <xdr:colOff>480060</xdr:colOff>
          <xdr:row>16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426720</xdr:colOff>
      <xdr:row>17</xdr:row>
      <xdr:rowOff>0</xdr:rowOff>
    </xdr:from>
    <xdr:to>
      <xdr:col>14</xdr:col>
      <xdr:colOff>365760</xdr:colOff>
      <xdr:row>40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E8388-FD87-478D-8A58-1BA3E20D9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cols>
    <col min="2" max="2" width="23" customWidth="1"/>
    <col min="8" max="8" width="13.21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T15" sqref="T1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8EAAA-402B-4DF4-902A-BA21181EF624}">
  <sheetPr codeName="Sheet3"/>
  <dimension ref="A1:C15"/>
  <sheetViews>
    <sheetView showGridLines="0" tabSelected="1" workbookViewId="0">
      <selection activeCell="M20" sqref="M20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525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136070900</v>
      </c>
      <c r="C4" s="5">
        <v>8.9368253946304321E-2</v>
      </c>
    </row>
    <row r="5" spans="1:3" x14ac:dyDescent="0.3">
      <c r="A5" t="s">
        <v>9</v>
      </c>
      <c r="B5" s="3">
        <v>310592800</v>
      </c>
      <c r="C5" s="5">
        <v>0.33070248365402222</v>
      </c>
    </row>
    <row r="6" spans="1:3" x14ac:dyDescent="0.3">
      <c r="A6" t="s">
        <v>10</v>
      </c>
      <c r="B6" s="3">
        <v>35796200</v>
      </c>
      <c r="C6" s="5">
        <v>1.9944583177566528</v>
      </c>
    </row>
    <row r="7" spans="1:3" x14ac:dyDescent="0.3">
      <c r="A7" t="s">
        <v>11</v>
      </c>
      <c r="B7" s="3">
        <v>221772100</v>
      </c>
      <c r="C7" s="5">
        <v>1.2952382564544678</v>
      </c>
    </row>
    <row r="8" spans="1:3" x14ac:dyDescent="0.3">
      <c r="A8" t="s">
        <v>12</v>
      </c>
      <c r="B8" s="3">
        <v>684181400</v>
      </c>
      <c r="C8" s="5">
        <v>1.0131185054779053</v>
      </c>
    </row>
    <row r="9" spans="1:3" x14ac:dyDescent="0.3">
      <c r="A9" t="s">
        <v>13</v>
      </c>
      <c r="B9" s="3">
        <v>80949300</v>
      </c>
      <c r="C9" s="5">
        <v>0.2583681046962738</v>
      </c>
    </row>
    <row r="10" spans="1:3" x14ac:dyDescent="0.3">
      <c r="A10" t="s">
        <v>14</v>
      </c>
      <c r="B10" s="3">
        <v>191632200</v>
      </c>
      <c r="C10" s="5">
        <v>0.53870755434036255</v>
      </c>
    </row>
    <row r="11" spans="1:3" x14ac:dyDescent="0.3">
      <c r="A11" t="s">
        <v>15</v>
      </c>
      <c r="B11" s="3">
        <v>267681300</v>
      </c>
      <c r="C11" s="5">
        <v>5.5456161499023438E-2</v>
      </c>
    </row>
    <row r="12" spans="1:3" x14ac:dyDescent="0.3">
      <c r="A12" t="s">
        <v>16</v>
      </c>
      <c r="B12" s="3">
        <v>206885200</v>
      </c>
      <c r="C12" s="5">
        <v>1.8446969985961914</v>
      </c>
    </row>
    <row r="13" spans="1:3" x14ac:dyDescent="0.3">
      <c r="A13" t="s">
        <v>17</v>
      </c>
      <c r="B13" s="3">
        <v>782187000</v>
      </c>
      <c r="C13" s="5">
        <v>0.23065699636936188</v>
      </c>
    </row>
    <row r="14" spans="1:3" x14ac:dyDescent="0.3">
      <c r="A14" t="s">
        <v>18</v>
      </c>
      <c r="B14" s="3">
        <v>139402800</v>
      </c>
      <c r="C14" s="4">
        <v>-7.2148971259593964E-2</v>
      </c>
    </row>
    <row r="15" spans="1:3" x14ac:dyDescent="0.3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495300</xdr:colOff>
                    <xdr:row>4</xdr:row>
                    <xdr:rowOff>152400</xdr:rowOff>
                  </from>
                  <to>
                    <xdr:col>12</xdr:col>
                    <xdr:colOff>7620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190500</xdr:colOff>
                    <xdr:row>13</xdr:row>
                    <xdr:rowOff>30480</xdr:rowOff>
                  </from>
                  <to>
                    <xdr:col>8</xdr:col>
                    <xdr:colOff>480060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E1E9-11BA-4AE8-9D63-5F9F698E400B}">
  <sheetPr codeName="Sheet4"/>
  <dimension ref="A1:K34"/>
  <sheetViews>
    <sheetView showGridLines="0" workbookViewId="0">
      <selection activeCell="C39" sqref="C39"/>
    </sheetView>
  </sheetViews>
  <sheetFormatPr defaultRowHeight="14.4" x14ac:dyDescent="0.3"/>
  <cols>
    <col min="2" max="2" width="18.88671875" customWidth="1"/>
    <col min="3" max="3" width="14.33203125" customWidth="1"/>
    <col min="10" max="10" width="18.109375" customWidth="1"/>
  </cols>
  <sheetData>
    <row r="1" spans="1:11" x14ac:dyDescent="0.3">
      <c r="A1" t="s">
        <v>524</v>
      </c>
      <c r="I1" t="s">
        <v>525</v>
      </c>
    </row>
    <row r="3" spans="1:11" x14ac:dyDescent="0.3">
      <c r="A3" t="s">
        <v>0</v>
      </c>
      <c r="B3" t="s">
        <v>522</v>
      </c>
      <c r="C3" t="s">
        <v>523</v>
      </c>
      <c r="I3" t="s">
        <v>0</v>
      </c>
      <c r="J3" t="s">
        <v>522</v>
      </c>
      <c r="K3" t="s">
        <v>523</v>
      </c>
    </row>
    <row r="4" spans="1:11" x14ac:dyDescent="0.3">
      <c r="A4" t="s">
        <v>8</v>
      </c>
      <c r="B4">
        <v>83079900</v>
      </c>
      <c r="C4" s="6">
        <v>-7.2847634553909302E-2</v>
      </c>
      <c r="I4" t="s">
        <v>8</v>
      </c>
      <c r="J4">
        <v>136070900</v>
      </c>
      <c r="K4" s="6">
        <v>8.9368253946304321E-2</v>
      </c>
    </row>
    <row r="5" spans="1:11" x14ac:dyDescent="0.3">
      <c r="A5" t="s">
        <v>9</v>
      </c>
      <c r="B5">
        <v>200879900</v>
      </c>
      <c r="C5" s="6">
        <v>-0.16336052119731903</v>
      </c>
      <c r="I5" t="s">
        <v>9</v>
      </c>
      <c r="J5">
        <v>310592800</v>
      </c>
      <c r="K5" s="6">
        <v>0.33070248365402222</v>
      </c>
    </row>
    <row r="6" spans="1:11" x14ac:dyDescent="0.3">
      <c r="A6" t="s">
        <v>10</v>
      </c>
      <c r="B6">
        <v>107873900</v>
      </c>
      <c r="C6" s="6">
        <v>-0.62601888179779053</v>
      </c>
      <c r="I6" t="s">
        <v>10</v>
      </c>
      <c r="J6">
        <v>35796200</v>
      </c>
      <c r="K6" s="6">
        <v>1.9944583177566528</v>
      </c>
    </row>
    <row r="7" spans="1:11" x14ac:dyDescent="0.3">
      <c r="A7" t="s">
        <v>11</v>
      </c>
      <c r="B7">
        <v>607473500</v>
      </c>
      <c r="C7" s="6">
        <v>0.81923085451126099</v>
      </c>
      <c r="I7" t="s">
        <v>11</v>
      </c>
      <c r="J7">
        <v>221772100</v>
      </c>
      <c r="K7" s="6">
        <v>1.2952382564544678</v>
      </c>
    </row>
    <row r="8" spans="1:11" x14ac:dyDescent="0.3">
      <c r="A8" t="s">
        <v>12</v>
      </c>
      <c r="B8">
        <v>478113900</v>
      </c>
      <c r="C8" s="6">
        <v>-0.39713191986083984</v>
      </c>
      <c r="I8" t="s">
        <v>12</v>
      </c>
      <c r="J8">
        <v>684181400</v>
      </c>
      <c r="K8" s="6">
        <v>1.0131185054779053</v>
      </c>
    </row>
    <row r="9" spans="1:11" x14ac:dyDescent="0.3">
      <c r="A9" t="s">
        <v>13</v>
      </c>
      <c r="B9">
        <v>104340600</v>
      </c>
      <c r="C9" s="6">
        <v>-0.20658062398433685</v>
      </c>
      <c r="I9" t="s">
        <v>13</v>
      </c>
      <c r="J9">
        <v>80949300</v>
      </c>
      <c r="K9" s="6">
        <v>0.2583681046962738</v>
      </c>
    </row>
    <row r="10" spans="1:11" x14ac:dyDescent="0.3">
      <c r="A10" t="s">
        <v>14</v>
      </c>
      <c r="B10">
        <v>158309000</v>
      </c>
      <c r="C10" s="6">
        <v>-0.6053471565246582</v>
      </c>
      <c r="I10" t="s">
        <v>14</v>
      </c>
      <c r="J10">
        <v>191632200</v>
      </c>
      <c r="K10" s="6">
        <v>0.53870755434036255</v>
      </c>
    </row>
    <row r="11" spans="1:11" x14ac:dyDescent="0.3">
      <c r="A11" t="s">
        <v>15</v>
      </c>
      <c r="B11">
        <v>502757100</v>
      </c>
      <c r="C11" s="6">
        <v>0.83952707052230835</v>
      </c>
      <c r="I11" t="s">
        <v>15</v>
      </c>
      <c r="J11">
        <v>267681300</v>
      </c>
      <c r="K11" s="6">
        <v>5.5456161499023438E-2</v>
      </c>
    </row>
    <row r="12" spans="1:11" x14ac:dyDescent="0.3">
      <c r="A12" t="s">
        <v>16</v>
      </c>
      <c r="B12">
        <v>237212300</v>
      </c>
      <c r="C12" s="6">
        <v>-7.7529586851596832E-2</v>
      </c>
      <c r="I12" t="s">
        <v>16</v>
      </c>
      <c r="J12">
        <v>206885200</v>
      </c>
      <c r="K12" s="6">
        <v>1.8446969985961914</v>
      </c>
    </row>
    <row r="13" spans="1:11" x14ac:dyDescent="0.3">
      <c r="A13" t="s">
        <v>17</v>
      </c>
      <c r="B13">
        <v>538024300</v>
      </c>
      <c r="C13" s="6">
        <v>-0.44593092799186707</v>
      </c>
      <c r="I13" t="s">
        <v>17</v>
      </c>
      <c r="J13">
        <v>782187000</v>
      </c>
      <c r="K13" s="6">
        <v>0.23065699636936188</v>
      </c>
    </row>
    <row r="14" spans="1:11" x14ac:dyDescent="0.3">
      <c r="A14" t="s">
        <v>18</v>
      </c>
      <c r="B14">
        <v>151434700</v>
      </c>
      <c r="C14" s="6">
        <v>-4.9957673996686935E-2</v>
      </c>
      <c r="I14" t="s">
        <v>18</v>
      </c>
      <c r="J14">
        <v>139402800</v>
      </c>
      <c r="K14" s="6">
        <v>-7.2148971259593964E-2</v>
      </c>
    </row>
    <row r="15" spans="1:11" x14ac:dyDescent="0.3">
      <c r="A15" t="s">
        <v>19</v>
      </c>
      <c r="B15">
        <v>136539100</v>
      </c>
      <c r="C15" s="6">
        <v>-3.5443063825368881E-2</v>
      </c>
      <c r="I15" t="s">
        <v>19</v>
      </c>
      <c r="J15">
        <v>109487900</v>
      </c>
      <c r="K15" s="6">
        <v>0.50000005960464478</v>
      </c>
    </row>
    <row r="22" spans="1:3" x14ac:dyDescent="0.3">
      <c r="A22" s="11" t="s">
        <v>0</v>
      </c>
      <c r="B22" s="11" t="s">
        <v>526</v>
      </c>
      <c r="C22" s="11" t="s">
        <v>527</v>
      </c>
    </row>
    <row r="23" spans="1:3" x14ac:dyDescent="0.3">
      <c r="A23" s="7" t="s">
        <v>8</v>
      </c>
      <c r="B23" s="8">
        <v>8.9368253946304321E-2</v>
      </c>
      <c r="C23" s="8">
        <v>-7.2847634553909302E-2</v>
      </c>
    </row>
    <row r="24" spans="1:3" x14ac:dyDescent="0.3">
      <c r="A24" s="7" t="s">
        <v>9</v>
      </c>
      <c r="B24" s="8">
        <v>0.33070248365402222</v>
      </c>
      <c r="C24" s="8">
        <v>-0.16336052119731903</v>
      </c>
    </row>
    <row r="25" spans="1:3" x14ac:dyDescent="0.3">
      <c r="A25" s="7" t="s">
        <v>10</v>
      </c>
      <c r="B25" s="8">
        <v>1.9944583177566528</v>
      </c>
      <c r="C25" s="8">
        <v>-0.62601888179779053</v>
      </c>
    </row>
    <row r="26" spans="1:3" x14ac:dyDescent="0.3">
      <c r="A26" s="7" t="s">
        <v>11</v>
      </c>
      <c r="B26" s="8">
        <v>1.2952382564544678</v>
      </c>
      <c r="C26" s="8">
        <v>0.81923085451126099</v>
      </c>
    </row>
    <row r="27" spans="1:3" x14ac:dyDescent="0.3">
      <c r="A27" s="7" t="s">
        <v>12</v>
      </c>
      <c r="B27" s="8">
        <v>1.0131185054779053</v>
      </c>
      <c r="C27" s="8">
        <v>-0.39713191986083984</v>
      </c>
    </row>
    <row r="28" spans="1:3" x14ac:dyDescent="0.3">
      <c r="A28" s="7" t="s">
        <v>13</v>
      </c>
      <c r="B28" s="8">
        <v>0.2583681046962738</v>
      </c>
      <c r="C28" s="8">
        <v>-0.20658062398433685</v>
      </c>
    </row>
    <row r="29" spans="1:3" x14ac:dyDescent="0.3">
      <c r="A29" s="7" t="s">
        <v>14</v>
      </c>
      <c r="B29" s="8">
        <v>0.53870755434036255</v>
      </c>
      <c r="C29" s="8">
        <v>-0.6053471565246582</v>
      </c>
    </row>
    <row r="30" spans="1:3" x14ac:dyDescent="0.3">
      <c r="A30" s="7" t="s">
        <v>15</v>
      </c>
      <c r="B30" s="8">
        <v>5.5456161499023438E-2</v>
      </c>
      <c r="C30" s="8">
        <v>0.83952707052230835</v>
      </c>
    </row>
    <row r="31" spans="1:3" x14ac:dyDescent="0.3">
      <c r="A31" s="7" t="s">
        <v>16</v>
      </c>
      <c r="B31" s="8">
        <v>1.8446969985961914</v>
      </c>
      <c r="C31" s="8">
        <v>-7.7529586851596832E-2</v>
      </c>
    </row>
    <row r="32" spans="1:3" x14ac:dyDescent="0.3">
      <c r="A32" s="7" t="s">
        <v>17</v>
      </c>
      <c r="B32" s="8">
        <v>0.23065699636936188</v>
      </c>
      <c r="C32" s="8">
        <v>-0.44593092799186707</v>
      </c>
    </row>
    <row r="33" spans="1:3" x14ac:dyDescent="0.3">
      <c r="A33" s="7" t="s">
        <v>18</v>
      </c>
      <c r="B33" s="8">
        <v>-7.2148971259593964E-2</v>
      </c>
      <c r="C33" s="8">
        <v>-4.9957673996686935E-2</v>
      </c>
    </row>
    <row r="34" spans="1:3" x14ac:dyDescent="0.3">
      <c r="A34" s="9" t="s">
        <v>19</v>
      </c>
      <c r="B34" s="10">
        <v>0.50000005960464478</v>
      </c>
      <c r="C34" s="10">
        <v>-3.5443063825368881E-2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D9C88-C914-41F4-8E2F-EDF531F52A58}">
  <sheetPr codeName="Sheet5"/>
  <dimension ref="A2:R31"/>
  <sheetViews>
    <sheetView showGridLines="0" topLeftCell="G1" workbookViewId="0">
      <selection activeCell="O4" sqref="O4:P15"/>
    </sheetView>
  </sheetViews>
  <sheetFormatPr defaultRowHeight="14.4" x14ac:dyDescent="0.3"/>
  <cols>
    <col min="1" max="1" width="14.44140625" customWidth="1"/>
    <col min="2" max="2" width="12.21875" customWidth="1"/>
    <col min="3" max="3" width="13" customWidth="1"/>
    <col min="6" max="6" width="14.5546875" customWidth="1"/>
    <col min="7" max="7" width="16.6640625" customWidth="1"/>
    <col min="8" max="8" width="17.5546875" customWidth="1"/>
    <col min="9" max="9" width="24.44140625" customWidth="1"/>
    <col min="14" max="14" width="9.6640625" customWidth="1"/>
    <col min="15" max="15" width="15.44140625" customWidth="1"/>
    <col min="16" max="16" width="17.33203125" customWidth="1"/>
    <col min="17" max="17" width="17.109375" customWidth="1"/>
  </cols>
  <sheetData>
    <row r="2" spans="1:18" x14ac:dyDescent="0.3">
      <c r="N2" s="21"/>
      <c r="O2" s="21"/>
      <c r="P2" s="21"/>
    </row>
    <row r="3" spans="1:18" ht="28.8" x14ac:dyDescent="0.3">
      <c r="A3" s="16" t="s">
        <v>0</v>
      </c>
      <c r="B3" s="16" t="s">
        <v>526</v>
      </c>
      <c r="C3" s="16" t="s">
        <v>527</v>
      </c>
      <c r="E3" s="2" t="s">
        <v>0</v>
      </c>
      <c r="F3" s="2" t="s">
        <v>530</v>
      </c>
      <c r="G3" s="2" t="s">
        <v>531</v>
      </c>
      <c r="H3" s="17" t="s">
        <v>528</v>
      </c>
      <c r="I3" s="17" t="s">
        <v>529</v>
      </c>
      <c r="N3" s="16" t="s">
        <v>0</v>
      </c>
      <c r="O3" s="20" t="s">
        <v>528</v>
      </c>
      <c r="P3" s="20" t="s">
        <v>529</v>
      </c>
      <c r="Q3" s="22" t="s">
        <v>532</v>
      </c>
      <c r="R3" s="19"/>
    </row>
    <row r="4" spans="1:18" x14ac:dyDescent="0.3">
      <c r="A4" s="7" t="s">
        <v>8</v>
      </c>
      <c r="B4" s="12">
        <v>8.9368253946304321E-2</v>
      </c>
      <c r="C4" s="13">
        <v>-7.2847634553909302E-2</v>
      </c>
      <c r="E4" t="s">
        <v>8</v>
      </c>
      <c r="F4" s="3">
        <v>136070900</v>
      </c>
      <c r="G4" s="3">
        <v>83079900</v>
      </c>
      <c r="H4" s="18">
        <f>F4/1000000</f>
        <v>136.07089999999999</v>
      </c>
      <c r="I4" s="18">
        <f>G4/1000000</f>
        <v>83.079899999999995</v>
      </c>
      <c r="N4" s="7" t="s">
        <v>8</v>
      </c>
      <c r="O4" s="26">
        <v>136.07089999999999</v>
      </c>
      <c r="P4" s="26">
        <v>83.079899999999995</v>
      </c>
      <c r="Q4" s="23">
        <f>P4-O4</f>
        <v>-52.991</v>
      </c>
    </row>
    <row r="5" spans="1:18" x14ac:dyDescent="0.3">
      <c r="A5" s="7" t="s">
        <v>9</v>
      </c>
      <c r="B5" s="12">
        <v>0.33070248365402222</v>
      </c>
      <c r="C5" s="13">
        <v>-0.16336052119731903</v>
      </c>
      <c r="E5" t="s">
        <v>9</v>
      </c>
      <c r="F5" s="3">
        <v>310592800</v>
      </c>
      <c r="G5" s="3">
        <v>200879900</v>
      </c>
      <c r="H5" s="18">
        <f t="shared" ref="H5:H15" si="0">F5/1000000</f>
        <v>310.59280000000001</v>
      </c>
      <c r="I5" s="18">
        <f t="shared" ref="I5:I15" si="1">G5/1000000</f>
        <v>200.87989999999999</v>
      </c>
      <c r="N5" s="7" t="s">
        <v>9</v>
      </c>
      <c r="O5" s="26">
        <v>310.59280000000001</v>
      </c>
      <c r="P5" s="26">
        <v>200.87989999999999</v>
      </c>
      <c r="Q5" s="24">
        <f t="shared" ref="Q5:Q15" si="2">P5-O5</f>
        <v>-109.71290000000002</v>
      </c>
    </row>
    <row r="6" spans="1:18" x14ac:dyDescent="0.3">
      <c r="A6" s="7" t="s">
        <v>10</v>
      </c>
      <c r="B6" s="12">
        <v>1.9944583177566528</v>
      </c>
      <c r="C6" s="13">
        <v>-0.62601888179779053</v>
      </c>
      <c r="E6" t="s">
        <v>10</v>
      </c>
      <c r="F6" s="3">
        <v>35796200</v>
      </c>
      <c r="G6" s="3">
        <v>107873900</v>
      </c>
      <c r="H6" s="18">
        <f t="shared" si="0"/>
        <v>35.796199999999999</v>
      </c>
      <c r="I6" s="18">
        <f t="shared" si="1"/>
        <v>107.87390000000001</v>
      </c>
      <c r="N6" s="7" t="s">
        <v>10</v>
      </c>
      <c r="O6" s="26">
        <v>35.796199999999999</v>
      </c>
      <c r="P6" s="26">
        <v>107.87390000000001</v>
      </c>
      <c r="Q6" s="24">
        <f t="shared" si="2"/>
        <v>72.077700000000007</v>
      </c>
    </row>
    <row r="7" spans="1:18" x14ac:dyDescent="0.3">
      <c r="A7" s="7" t="s">
        <v>11</v>
      </c>
      <c r="B7" s="12">
        <v>1.2952382564544678</v>
      </c>
      <c r="C7" s="12">
        <v>0.81923085451126099</v>
      </c>
      <c r="E7" t="s">
        <v>11</v>
      </c>
      <c r="F7" s="3">
        <v>221772100</v>
      </c>
      <c r="G7" s="3">
        <v>607473500</v>
      </c>
      <c r="H7" s="18">
        <f t="shared" si="0"/>
        <v>221.77209999999999</v>
      </c>
      <c r="I7" s="18">
        <f t="shared" si="1"/>
        <v>607.47349999999994</v>
      </c>
      <c r="N7" s="7" t="s">
        <v>11</v>
      </c>
      <c r="O7" s="26">
        <v>221.77209999999999</v>
      </c>
      <c r="P7" s="26">
        <v>607.47349999999994</v>
      </c>
      <c r="Q7" s="24">
        <f t="shared" si="2"/>
        <v>385.70139999999992</v>
      </c>
    </row>
    <row r="8" spans="1:18" x14ac:dyDescent="0.3">
      <c r="A8" s="7" t="s">
        <v>12</v>
      </c>
      <c r="B8" s="12">
        <v>1.0131185054779053</v>
      </c>
      <c r="C8" s="13">
        <v>-0.39713191986083984</v>
      </c>
      <c r="E8" t="s">
        <v>12</v>
      </c>
      <c r="F8" s="3">
        <v>684181400</v>
      </c>
      <c r="G8" s="3">
        <v>478113900</v>
      </c>
      <c r="H8" s="18">
        <f t="shared" si="0"/>
        <v>684.18140000000005</v>
      </c>
      <c r="I8" s="18">
        <f t="shared" si="1"/>
        <v>478.1139</v>
      </c>
      <c r="N8" s="7" t="s">
        <v>12</v>
      </c>
      <c r="O8" s="26">
        <v>684.18140000000005</v>
      </c>
      <c r="P8" s="26">
        <v>478.1139</v>
      </c>
      <c r="Q8" s="24">
        <f t="shared" si="2"/>
        <v>-206.06750000000005</v>
      </c>
    </row>
    <row r="9" spans="1:18" x14ac:dyDescent="0.3">
      <c r="A9" s="7" t="s">
        <v>13</v>
      </c>
      <c r="B9" s="12">
        <v>0.2583681046962738</v>
      </c>
      <c r="C9" s="13">
        <v>-0.20658062398433685</v>
      </c>
      <c r="E9" t="s">
        <v>13</v>
      </c>
      <c r="F9" s="3">
        <v>80949300</v>
      </c>
      <c r="G9" s="3">
        <v>104340600</v>
      </c>
      <c r="H9" s="18">
        <f t="shared" si="0"/>
        <v>80.949299999999994</v>
      </c>
      <c r="I9" s="18">
        <f t="shared" si="1"/>
        <v>104.34059999999999</v>
      </c>
      <c r="N9" s="7" t="s">
        <v>13</v>
      </c>
      <c r="O9" s="26">
        <v>80.949299999999994</v>
      </c>
      <c r="P9" s="26">
        <v>104.34059999999999</v>
      </c>
      <c r="Q9" s="24">
        <f t="shared" si="2"/>
        <v>23.391300000000001</v>
      </c>
    </row>
    <row r="10" spans="1:18" x14ac:dyDescent="0.3">
      <c r="A10" s="7" t="s">
        <v>14</v>
      </c>
      <c r="B10" s="12">
        <v>0.53870755434036255</v>
      </c>
      <c r="C10" s="13">
        <v>-0.6053471565246582</v>
      </c>
      <c r="E10" t="s">
        <v>14</v>
      </c>
      <c r="F10" s="3">
        <v>191632200</v>
      </c>
      <c r="G10" s="3">
        <v>158309000</v>
      </c>
      <c r="H10" s="18">
        <f t="shared" si="0"/>
        <v>191.63220000000001</v>
      </c>
      <c r="I10" s="18">
        <f t="shared" si="1"/>
        <v>158.309</v>
      </c>
      <c r="N10" s="7" t="s">
        <v>14</v>
      </c>
      <c r="O10" s="26">
        <v>191.63220000000001</v>
      </c>
      <c r="P10" s="26">
        <v>158.309</v>
      </c>
      <c r="Q10" s="24">
        <f t="shared" si="2"/>
        <v>-33.323200000000014</v>
      </c>
    </row>
    <row r="11" spans="1:18" x14ac:dyDescent="0.3">
      <c r="A11" s="7" t="s">
        <v>15</v>
      </c>
      <c r="B11" s="12">
        <v>5.5456161499023438E-2</v>
      </c>
      <c r="C11" s="12">
        <v>0.83952707052230835</v>
      </c>
      <c r="E11" t="s">
        <v>15</v>
      </c>
      <c r="F11" s="3">
        <v>267681300</v>
      </c>
      <c r="G11" s="3">
        <v>502757100</v>
      </c>
      <c r="H11" s="18">
        <f t="shared" si="0"/>
        <v>267.68130000000002</v>
      </c>
      <c r="I11" s="18">
        <f t="shared" si="1"/>
        <v>502.75709999999998</v>
      </c>
      <c r="N11" s="7" t="s">
        <v>15</v>
      </c>
      <c r="O11" s="26">
        <v>267.68130000000002</v>
      </c>
      <c r="P11" s="26">
        <v>502.75709999999998</v>
      </c>
      <c r="Q11" s="24">
        <f t="shared" si="2"/>
        <v>235.07579999999996</v>
      </c>
    </row>
    <row r="12" spans="1:18" x14ac:dyDescent="0.3">
      <c r="A12" s="7" t="s">
        <v>16</v>
      </c>
      <c r="B12" s="12">
        <v>1.8446969985961914</v>
      </c>
      <c r="C12" s="13">
        <v>-7.7529586851596832E-2</v>
      </c>
      <c r="E12" t="s">
        <v>16</v>
      </c>
      <c r="F12" s="3">
        <v>206885200</v>
      </c>
      <c r="G12" s="3">
        <v>237212300</v>
      </c>
      <c r="H12" s="18">
        <f t="shared" si="0"/>
        <v>206.8852</v>
      </c>
      <c r="I12" s="18">
        <f t="shared" si="1"/>
        <v>237.2123</v>
      </c>
      <c r="N12" s="7" t="s">
        <v>16</v>
      </c>
      <c r="O12" s="26">
        <v>206.8852</v>
      </c>
      <c r="P12" s="26">
        <v>237.2123</v>
      </c>
      <c r="Q12" s="24">
        <f t="shared" si="2"/>
        <v>30.327100000000002</v>
      </c>
    </row>
    <row r="13" spans="1:18" x14ac:dyDescent="0.3">
      <c r="A13" s="7" t="s">
        <v>17</v>
      </c>
      <c r="B13" s="12">
        <v>0.23065699636936188</v>
      </c>
      <c r="C13" s="13">
        <v>-0.44593092799186707</v>
      </c>
      <c r="E13" t="s">
        <v>17</v>
      </c>
      <c r="F13" s="3">
        <v>782187000</v>
      </c>
      <c r="G13" s="3">
        <v>538024300</v>
      </c>
      <c r="H13" s="18">
        <f t="shared" si="0"/>
        <v>782.18700000000001</v>
      </c>
      <c r="I13" s="18">
        <f t="shared" si="1"/>
        <v>538.02430000000004</v>
      </c>
      <c r="N13" s="7" t="s">
        <v>17</v>
      </c>
      <c r="O13" s="26">
        <v>782.18700000000001</v>
      </c>
      <c r="P13" s="26">
        <v>538.02430000000004</v>
      </c>
      <c r="Q13" s="24">
        <f t="shared" si="2"/>
        <v>-244.16269999999997</v>
      </c>
    </row>
    <row r="14" spans="1:18" x14ac:dyDescent="0.3">
      <c r="A14" s="7" t="s">
        <v>18</v>
      </c>
      <c r="B14" s="13">
        <v>-7.2148971259593964E-2</v>
      </c>
      <c r="C14" s="13">
        <v>-4.9957673996686935E-2</v>
      </c>
      <c r="E14" t="s">
        <v>18</v>
      </c>
      <c r="F14" s="3">
        <v>139402800</v>
      </c>
      <c r="G14" s="3">
        <v>151434700</v>
      </c>
      <c r="H14" s="18">
        <f t="shared" si="0"/>
        <v>139.40280000000001</v>
      </c>
      <c r="I14" s="18">
        <f t="shared" si="1"/>
        <v>151.43469999999999</v>
      </c>
      <c r="N14" s="7" t="s">
        <v>18</v>
      </c>
      <c r="O14" s="26">
        <v>139.40280000000001</v>
      </c>
      <c r="P14" s="26">
        <v>151.43469999999999</v>
      </c>
      <c r="Q14" s="24">
        <f t="shared" si="2"/>
        <v>12.031899999999979</v>
      </c>
    </row>
    <row r="15" spans="1:18" x14ac:dyDescent="0.3">
      <c r="A15" s="9" t="s">
        <v>19</v>
      </c>
      <c r="B15" s="14">
        <v>0.50000005960464478</v>
      </c>
      <c r="C15" s="15">
        <v>-3.5443063825368881E-2</v>
      </c>
      <c r="E15" t="s">
        <v>19</v>
      </c>
      <c r="F15" s="3">
        <v>109487900</v>
      </c>
      <c r="G15" s="3">
        <v>136539100</v>
      </c>
      <c r="H15" s="18">
        <f t="shared" si="0"/>
        <v>109.4879</v>
      </c>
      <c r="I15" s="18">
        <f t="shared" si="1"/>
        <v>136.53909999999999</v>
      </c>
      <c r="N15" s="9" t="s">
        <v>19</v>
      </c>
      <c r="O15" s="27">
        <v>109.4879</v>
      </c>
      <c r="P15" s="27">
        <v>136.53909999999999</v>
      </c>
      <c r="Q15" s="25">
        <f t="shared" si="2"/>
        <v>27.051199999999994</v>
      </c>
    </row>
    <row r="19" spans="1:5" ht="72" x14ac:dyDescent="0.3">
      <c r="A19" s="2" t="s">
        <v>0</v>
      </c>
      <c r="B19" s="2" t="s">
        <v>530</v>
      </c>
      <c r="C19" s="2" t="s">
        <v>531</v>
      </c>
      <c r="D19" s="17" t="s">
        <v>528</v>
      </c>
      <c r="E19" s="17" t="s">
        <v>529</v>
      </c>
    </row>
    <row r="20" spans="1:5" x14ac:dyDescent="0.3">
      <c r="A20" t="s">
        <v>8</v>
      </c>
      <c r="B20" s="3">
        <v>136070900</v>
      </c>
      <c r="C20" s="3">
        <v>83079900</v>
      </c>
      <c r="D20" s="18">
        <f>B20/1000000</f>
        <v>136.07089999999999</v>
      </c>
      <c r="E20" s="18">
        <f>C20/1000000</f>
        <v>83.079899999999995</v>
      </c>
    </row>
    <row r="21" spans="1:5" x14ac:dyDescent="0.3">
      <c r="A21" t="s">
        <v>9</v>
      </c>
      <c r="B21" s="3">
        <v>310592800</v>
      </c>
      <c r="C21" s="3">
        <v>200879900</v>
      </c>
      <c r="D21" s="18">
        <f>B21/1000000</f>
        <v>310.59280000000001</v>
      </c>
      <c r="E21" s="18">
        <f>C21/1000000</f>
        <v>200.87989999999999</v>
      </c>
    </row>
    <row r="22" spans="1:5" x14ac:dyDescent="0.3">
      <c r="A22" t="s">
        <v>10</v>
      </c>
      <c r="B22" s="3">
        <v>35796200</v>
      </c>
      <c r="C22" s="3">
        <v>107873900</v>
      </c>
      <c r="D22" s="18">
        <f>B22/1000000</f>
        <v>35.796199999999999</v>
      </c>
      <c r="E22" s="18">
        <f>C22/1000000</f>
        <v>107.87390000000001</v>
      </c>
    </row>
    <row r="23" spans="1:5" x14ac:dyDescent="0.3">
      <c r="A23" t="s">
        <v>11</v>
      </c>
      <c r="B23" s="3">
        <v>221772100</v>
      </c>
      <c r="C23" s="3">
        <v>607473500</v>
      </c>
      <c r="D23" s="18">
        <f>B23/1000000</f>
        <v>221.77209999999999</v>
      </c>
      <c r="E23" s="18">
        <f>C23/1000000</f>
        <v>607.47349999999994</v>
      </c>
    </row>
    <row r="24" spans="1:5" x14ac:dyDescent="0.3">
      <c r="A24" t="s">
        <v>12</v>
      </c>
      <c r="B24" s="3">
        <v>684181400</v>
      </c>
      <c r="C24" s="3">
        <v>478113900</v>
      </c>
      <c r="D24" s="18">
        <f>B24/1000000</f>
        <v>684.18140000000005</v>
      </c>
      <c r="E24" s="18">
        <f>C24/1000000</f>
        <v>478.1139</v>
      </c>
    </row>
    <row r="25" spans="1:5" x14ac:dyDescent="0.3">
      <c r="A25" t="s">
        <v>13</v>
      </c>
      <c r="B25" s="3">
        <v>80949300</v>
      </c>
      <c r="C25" s="3">
        <v>104340600</v>
      </c>
      <c r="D25" s="18">
        <f>B25/1000000</f>
        <v>80.949299999999994</v>
      </c>
      <c r="E25" s="18">
        <f>C25/1000000</f>
        <v>104.34059999999999</v>
      </c>
    </row>
    <row r="26" spans="1:5" x14ac:dyDescent="0.3">
      <c r="A26" t="s">
        <v>14</v>
      </c>
      <c r="B26" s="3">
        <v>191632200</v>
      </c>
      <c r="C26" s="3">
        <v>158309000</v>
      </c>
      <c r="D26" s="18">
        <f>B26/1000000</f>
        <v>191.63220000000001</v>
      </c>
      <c r="E26" s="18">
        <f>C26/1000000</f>
        <v>158.309</v>
      </c>
    </row>
    <row r="27" spans="1:5" x14ac:dyDescent="0.3">
      <c r="A27" t="s">
        <v>15</v>
      </c>
      <c r="B27" s="3">
        <v>267681300</v>
      </c>
      <c r="C27" s="3">
        <v>502757100</v>
      </c>
      <c r="D27" s="18">
        <f>B27/1000000</f>
        <v>267.68130000000002</v>
      </c>
      <c r="E27" s="18">
        <f>C27/1000000</f>
        <v>502.75709999999998</v>
      </c>
    </row>
    <row r="28" spans="1:5" x14ac:dyDescent="0.3">
      <c r="A28" t="s">
        <v>16</v>
      </c>
      <c r="B28" s="3">
        <v>206885200</v>
      </c>
      <c r="C28" s="3">
        <v>237212300</v>
      </c>
      <c r="D28" s="18">
        <f>B28/1000000</f>
        <v>206.8852</v>
      </c>
      <c r="E28" s="18">
        <f>C28/1000000</f>
        <v>237.2123</v>
      </c>
    </row>
    <row r="29" spans="1:5" x14ac:dyDescent="0.3">
      <c r="A29" t="s">
        <v>17</v>
      </c>
      <c r="B29" s="3">
        <v>782187000</v>
      </c>
      <c r="C29" s="3">
        <v>538024300</v>
      </c>
      <c r="D29" s="18">
        <f>B29/1000000</f>
        <v>782.18700000000001</v>
      </c>
      <c r="E29" s="18">
        <f>C29/1000000</f>
        <v>538.02430000000004</v>
      </c>
    </row>
    <row r="30" spans="1:5" x14ac:dyDescent="0.3">
      <c r="A30" t="s">
        <v>18</v>
      </c>
      <c r="B30" s="3">
        <v>139402800</v>
      </c>
      <c r="C30" s="3">
        <v>151434700</v>
      </c>
      <c r="D30" s="18">
        <f>B30/1000000</f>
        <v>139.40280000000001</v>
      </c>
      <c r="E30" s="18">
        <f>C30/1000000</f>
        <v>151.43469999999999</v>
      </c>
    </row>
    <row r="31" spans="1:5" x14ac:dyDescent="0.3">
      <c r="A31" t="s">
        <v>19</v>
      </c>
      <c r="B31" s="3">
        <v>109487900</v>
      </c>
      <c r="C31" s="3">
        <v>136539100</v>
      </c>
      <c r="D31" s="18">
        <f>B31/1000000</f>
        <v>109.4879</v>
      </c>
      <c r="E31" s="18">
        <f>C31/1000000</f>
        <v>136.53909999999999</v>
      </c>
    </row>
  </sheetData>
  <mergeCells count="1">
    <mergeCell ref="N2:P2"/>
  </mergeCells>
  <conditionalFormatting sqref="Q4:Q15">
    <cfRule type="cellIs" dxfId="1" priority="2" operator="greaterThan">
      <formula>0</formula>
    </cfRule>
    <cfRule type="cellIs" dxfId="2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B75CD39-43BC-4336-9D1F-115C5C80045A}">
            <xm:f>NOT(ISERROR(SEARCH("+",Q4)))</xm:f>
            <xm:f>"+"</xm:f>
            <x14:dxf>
              <fill>
                <patternFill>
                  <bgColor rgb="FFC64863"/>
                </patternFill>
              </fill>
            </x14:dxf>
          </x14:cfRule>
          <xm:sqref>Q4:Q15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Graphs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Sied Hassen</dc:creator>
  <cp:lastModifiedBy>Sied Hassen</cp:lastModifiedBy>
  <dcterms:created xsi:type="dcterms:W3CDTF">2019-05-02T20:23:55Z</dcterms:created>
  <dcterms:modified xsi:type="dcterms:W3CDTF">2022-03-06T21:11:27Z</dcterms:modified>
</cp:coreProperties>
</file>